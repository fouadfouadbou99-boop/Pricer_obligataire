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"/>
    </mc:Choice>
  </mc:AlternateContent>
  <xr:revisionPtr revIDLastSave="0" documentId="8_{A1D5867B-7DEF-4DF8-B18E-4234D64AF70B}" xr6:coauthVersionLast="47" xr6:coauthVersionMax="47" xr10:uidLastSave="{00000000-0000-0000-0000-000000000000}"/>
  <bookViews>
    <workbookView xWindow="-110" yWindow="-110" windowWidth="19420" windowHeight="11500" xr2:uid="{9F53AE78-9E2E-43A2-9307-DB2A147685A7}"/>
  </bookViews>
  <sheets>
    <sheet name="Bond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1" i="1" l="1"/>
  <c r="Q21" i="1"/>
  <c r="K21" i="1"/>
  <c r="R21" i="1" s="1"/>
  <c r="S21" i="1" s="1"/>
  <c r="N21" i="1" s="1"/>
  <c r="H21" i="1"/>
  <c r="U20" i="1"/>
  <c r="S20" i="1"/>
  <c r="Q20" i="1"/>
  <c r="N20" i="1"/>
  <c r="O20" i="1" s="1"/>
  <c r="K20" i="1"/>
  <c r="R20" i="1" s="1"/>
  <c r="H20" i="1"/>
  <c r="U19" i="1"/>
  <c r="S19" i="1"/>
  <c r="Q19" i="1"/>
  <c r="N19" i="1"/>
  <c r="O19" i="1" s="1"/>
  <c r="K19" i="1"/>
  <c r="R19" i="1" s="1"/>
  <c r="H19" i="1"/>
  <c r="U18" i="1"/>
  <c r="S18" i="1"/>
  <c r="Q18" i="1"/>
  <c r="N18" i="1"/>
  <c r="O18" i="1" s="1"/>
  <c r="K18" i="1"/>
  <c r="R18" i="1" s="1"/>
  <c r="H18" i="1"/>
  <c r="U17" i="1"/>
  <c r="S17" i="1"/>
  <c r="Q17" i="1"/>
  <c r="N17" i="1"/>
  <c r="O17" i="1" s="1"/>
  <c r="K17" i="1"/>
  <c r="H17" i="1"/>
  <c r="U16" i="1"/>
  <c r="Q16" i="1"/>
  <c r="K16" i="1"/>
  <c r="R16" i="1" s="1"/>
  <c r="S16" i="1" s="1"/>
  <c r="N16" i="1" s="1"/>
  <c r="O16" i="1" s="1"/>
  <c r="H16" i="1"/>
  <c r="U15" i="1"/>
  <c r="S15" i="1"/>
  <c r="N15" i="1" s="1"/>
  <c r="R15" i="1"/>
  <c r="Q15" i="1"/>
  <c r="K15" i="1"/>
  <c r="H15" i="1"/>
  <c r="U14" i="1"/>
  <c r="Q14" i="1"/>
  <c r="K14" i="1"/>
  <c r="R14" i="1" s="1"/>
  <c r="S14" i="1" s="1"/>
  <c r="N14" i="1" s="1"/>
  <c r="H14" i="1"/>
  <c r="U13" i="1"/>
  <c r="Q13" i="1"/>
  <c r="K13" i="1"/>
  <c r="R13" i="1" s="1"/>
  <c r="S13" i="1" s="1"/>
  <c r="H13" i="1"/>
  <c r="U12" i="1"/>
  <c r="Q12" i="1"/>
  <c r="K12" i="1"/>
  <c r="R12" i="1" s="1"/>
  <c r="S12" i="1" s="1"/>
  <c r="N12" i="1" s="1"/>
  <c r="O12" i="1" s="1"/>
  <c r="H12" i="1"/>
  <c r="U11" i="1"/>
  <c r="S11" i="1"/>
  <c r="Q11" i="1"/>
  <c r="N11" i="1"/>
  <c r="O11" i="1" s="1"/>
  <c r="K11" i="1"/>
  <c r="R11" i="1" s="1"/>
  <c r="H11" i="1"/>
  <c r="U10" i="1"/>
  <c r="Q10" i="1"/>
  <c r="K10" i="1"/>
  <c r="R10" i="1" s="1"/>
  <c r="S10" i="1" s="1"/>
  <c r="N10" i="1" s="1"/>
  <c r="O10" i="1" s="1"/>
  <c r="H10" i="1"/>
  <c r="U9" i="1"/>
  <c r="Q9" i="1"/>
  <c r="K9" i="1"/>
  <c r="H9" i="1"/>
  <c r="U8" i="1"/>
  <c r="R8" i="1"/>
  <c r="S8" i="1" s="1"/>
  <c r="N8" i="1" s="1"/>
  <c r="Q8" i="1"/>
  <c r="K8" i="1"/>
  <c r="H8" i="1"/>
  <c r="U7" i="1"/>
  <c r="S7" i="1"/>
  <c r="Q7" i="1"/>
  <c r="N7" i="1"/>
  <c r="O7" i="1" s="1"/>
  <c r="K7" i="1"/>
  <c r="R7" i="1" s="1"/>
  <c r="H7" i="1"/>
  <c r="U6" i="1"/>
  <c r="S6" i="1"/>
  <c r="Q6" i="1"/>
  <c r="N6" i="1"/>
  <c r="O6" i="1" s="1"/>
  <c r="K6" i="1"/>
  <c r="R6" i="1" s="1"/>
  <c r="H6" i="1"/>
  <c r="U5" i="1"/>
  <c r="S5" i="1"/>
  <c r="Q5" i="1"/>
  <c r="N5" i="1"/>
  <c r="O5" i="1" s="1"/>
  <c r="K5" i="1"/>
  <c r="R5" i="1" s="1"/>
  <c r="H5" i="1"/>
  <c r="U4" i="1"/>
  <c r="S4" i="1"/>
  <c r="R4" i="1"/>
  <c r="Q4" i="1"/>
  <c r="N4" i="1"/>
  <c r="O4" i="1" s="1"/>
  <c r="K4" i="1"/>
  <c r="H4" i="1"/>
  <c r="U3" i="1"/>
  <c r="S3" i="1"/>
  <c r="Q3" i="1"/>
  <c r="N3" i="1"/>
  <c r="K3" i="1"/>
  <c r="R3" i="1" s="1"/>
  <c r="H3" i="1"/>
  <c r="U2" i="1"/>
  <c r="R2" i="1"/>
  <c r="S2" i="1" s="1"/>
  <c r="N2" i="1" s="1"/>
  <c r="Q2" i="1"/>
  <c r="K2" i="1"/>
  <c r="H2" i="1"/>
  <c r="AF26" i="1" l="1"/>
  <c r="R9" i="1"/>
  <c r="S9" i="1" s="1"/>
  <c r="N9" i="1" s="1"/>
  <c r="O14" i="1"/>
  <c r="R17" i="1"/>
  <c r="O15" i="1"/>
  <c r="O2" i="1"/>
  <c r="O21" i="1"/>
  <c r="Q24" i="1"/>
  <c r="O3" i="1"/>
  <c r="O8" i="1"/>
  <c r="N13" i="1"/>
  <c r="O13" i="1" l="1"/>
  <c r="AL26" i="1"/>
  <c r="AL28" i="1" s="1"/>
  <c r="O9" i="1"/>
  <c r="AJ26" i="1"/>
  <c r="AJ28" i="1" s="1"/>
  <c r="AK26" i="1"/>
  <c r="AK28" i="1" s="1"/>
  <c r="O24" i="1" l="1"/>
</calcChain>
</file>

<file path=xl/sharedStrings.xml><?xml version="1.0" encoding="utf-8"?>
<sst xmlns="http://schemas.openxmlformats.org/spreadsheetml/2006/main" count="124" uniqueCount="79">
  <si>
    <t>Code</t>
  </si>
  <si>
    <t>Code AMC</t>
  </si>
  <si>
    <t>Description Titres</t>
  </si>
  <si>
    <t>Date Emission</t>
  </si>
  <si>
    <t>Date Jouissance</t>
  </si>
  <si>
    <t>Date Règlement</t>
  </si>
  <si>
    <t>Date Echéance</t>
  </si>
  <si>
    <t>Nature</t>
  </si>
  <si>
    <t>Taux facial</t>
  </si>
  <si>
    <t>Périodicité Coupon</t>
  </si>
  <si>
    <t>Fréquence</t>
  </si>
  <si>
    <t>Périodicité Remboursement</t>
  </si>
  <si>
    <t>Quantité</t>
  </si>
  <si>
    <t>Nominal Unitaire Restant</t>
  </si>
  <si>
    <t xml:space="preserve">Nominal Global Restant </t>
  </si>
  <si>
    <t>Nominal Unitaire</t>
  </si>
  <si>
    <t>Nominal Global</t>
  </si>
  <si>
    <t>Nombre Coupons Initiale</t>
  </si>
  <si>
    <t>CA</t>
  </si>
  <si>
    <t>Spread</t>
  </si>
  <si>
    <t>TRA</t>
  </si>
  <si>
    <t>Taux Courbe</t>
  </si>
  <si>
    <t>Maturité Initiale</t>
  </si>
  <si>
    <t>Maturité résiduelle pour le prochain coupon</t>
  </si>
  <si>
    <t>Maturité résiduelle</t>
  </si>
  <si>
    <t>Maturité résiduelle en année</t>
  </si>
  <si>
    <t>Nombre de coupons restants</t>
  </si>
  <si>
    <t>Base</t>
  </si>
  <si>
    <t>Date coupon précèdent</t>
  </si>
  <si>
    <t>Date coupon suivant</t>
  </si>
  <si>
    <t>Prix Unitaire</t>
  </si>
  <si>
    <t>Prix Global</t>
  </si>
  <si>
    <t>Sensibilité</t>
  </si>
  <si>
    <t>Duration</t>
  </si>
  <si>
    <t>Sensibilité Moyenne</t>
  </si>
  <si>
    <t>Duration Moyenne</t>
  </si>
  <si>
    <t>TRA Moyen</t>
  </si>
  <si>
    <t>Coupon Unitaire</t>
  </si>
  <si>
    <t>Coupon Moyen</t>
  </si>
  <si>
    <t>Coupon Couru Unitaire</t>
  </si>
  <si>
    <t>PPC Marché</t>
  </si>
  <si>
    <t>Segments</t>
  </si>
  <si>
    <t>Classification</t>
  </si>
  <si>
    <t>MA0002014654</t>
  </si>
  <si>
    <t>BDT  10 ans du 14/06/2027 à  3.2%</t>
  </si>
  <si>
    <t>MA0002016782</t>
  </si>
  <si>
    <t xml:space="preserve">BDT 5Y 18/10/2027 à 2,10% </t>
  </si>
  <si>
    <t>MA0002013177</t>
  </si>
  <si>
    <t>BDT du 16 04 2029 5.60 a 15 ans</t>
  </si>
  <si>
    <t>MA0002014324</t>
  </si>
  <si>
    <t xml:space="preserve">BDT 15 ans du 18/07/2031 à 3.20%  </t>
  </si>
  <si>
    <t>MA0002015164</t>
  </si>
  <si>
    <t xml:space="preserve">BDT 15 ans du 18/07/2033 à 3.70%  </t>
  </si>
  <si>
    <t>MA0000097701</t>
  </si>
  <si>
    <t>ONC CDG Développement 10 ans du 22/04/2036 à  3,94%</t>
  </si>
  <si>
    <t>AN</t>
  </si>
  <si>
    <t>FIN</t>
  </si>
  <si>
    <t>MA0000097800</t>
  </si>
  <si>
    <t>ONC AKDITAL 7 ans du 26/05/2033 à  3,67%</t>
  </si>
  <si>
    <t>MA0000097743</t>
  </si>
  <si>
    <t>ONC HOLDING AL OMRANE 10 ans du 12/05/2036 à 4,21%</t>
  </si>
  <si>
    <t>MA0000096513</t>
  </si>
  <si>
    <t>ONC  ATW SUBORDONNEE "A" 7 ans du 26/12/2024  3,53%</t>
  </si>
  <si>
    <t>MA0000096349</t>
  </si>
  <si>
    <t>ONC Nador West Med 15 ans du 26/07/2039 à 5,05%</t>
  </si>
  <si>
    <t>MA0000093726</t>
  </si>
  <si>
    <t>ONC FEC 15 ANS 3,84% du 19/07/2033</t>
  </si>
  <si>
    <t>MA0000093080</t>
  </si>
  <si>
    <t>VJGE  MASEN 15/01/2035 à 3,34%  à 18 ans</t>
  </si>
  <si>
    <t>MA0000092637</t>
  </si>
  <si>
    <t>ONC FEC 15 ANS 4.60% du 13/07/2030</t>
  </si>
  <si>
    <t>MA0000051583</t>
  </si>
  <si>
    <t>ONC du FT NORD ENERGY rev à 4,07% du 03/01/2039</t>
  </si>
  <si>
    <t>MA0000051567</t>
  </si>
  <si>
    <t>ONC du FT FLEXENERGY rev à 4,07% du 03/01/2039</t>
  </si>
  <si>
    <t>MA0000091027</t>
  </si>
  <si>
    <t>VJGE AUTOROUTES DU MAROC (B) du 26/04/2010 4,96% à 20 ans</t>
  </si>
  <si>
    <t>MA0000093510</t>
  </si>
  <si>
    <t>ONC FEC 15 ANS 3,93% du 06/12/2032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</si>
</sst>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.00\ _D_H_-;\-* #,##0.00\ _D_H_-;_-* &quot;-&quot;??\ _D_H_-;_-@_-"/>
    <numFmt numFmtId="166" formatCode="0.000%"/>
    <numFmt numFmtId="167" formatCode="_-* #,##0\ _€_-;\-* #,##0\ _€_-;_-* &quot;-&quot;??\ _€_-;_-@_-"/>
    <numFmt numFmtId="168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DINPro-Bold"/>
      <family val="3"/>
    </font>
    <font>
      <b/>
      <sz val="10"/>
      <name val="DINPro-Bold"/>
      <family val="3"/>
    </font>
    <font>
      <b/>
      <sz val="10"/>
      <color theme="1"/>
      <name val="DINPro-Bold"/>
      <family val="3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2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0" fontId="5" fillId="3" borderId="1" xfId="1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4" fontId="5" fillId="3" borderId="1" xfId="2" applyFont="1" applyFill="1" applyBorder="1" applyAlignment="1">
      <alignment horizontal="center" vertical="center" wrapText="1"/>
    </xf>
    <xf numFmtId="165" fontId="5" fillId="3" borderId="1" xfId="2" applyNumberFormat="1" applyFont="1" applyFill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3" borderId="1" xfId="2" applyNumberFormat="1" applyFont="1" applyFill="1" applyBorder="1" applyAlignment="1">
      <alignment horizontal="center" vertical="center"/>
    </xf>
    <xf numFmtId="2" fontId="5" fillId="3" borderId="1" xfId="2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167" fontId="4" fillId="0" borderId="0" xfId="3" applyNumberFormat="1" applyFont="1" applyFill="1" applyBorder="1" applyAlignment="1">
      <alignment horizontal="center" vertical="center"/>
    </xf>
    <xf numFmtId="10" fontId="4" fillId="0" borderId="0" xfId="4" applyNumberFormat="1" applyFont="1" applyFill="1" applyBorder="1" applyAlignment="1">
      <alignment horizontal="center" vertical="center"/>
    </xf>
    <xf numFmtId="1" fontId="4" fillId="0" borderId="0" xfId="4" applyNumberFormat="1" applyFont="1" applyFill="1" applyBorder="1" applyAlignment="1">
      <alignment horizontal="center" vertical="center"/>
    </xf>
    <xf numFmtId="168" fontId="4" fillId="0" borderId="0" xfId="0" applyNumberFormat="1" applyFont="1" applyAlignment="1">
      <alignment horizontal="right" vertical="center" indent="1"/>
    </xf>
    <xf numFmtId="1" fontId="4" fillId="0" borderId="0" xfId="3" applyNumberFormat="1" applyFont="1" applyFill="1" applyBorder="1" applyAlignment="1">
      <alignment horizontal="center" vertical="center"/>
    </xf>
    <xf numFmtId="164" fontId="4" fillId="0" borderId="0" xfId="3" applyFont="1" applyFill="1" applyBorder="1" applyAlignment="1">
      <alignment horizontal="center" vertical="center"/>
    </xf>
    <xf numFmtId="168" fontId="4" fillId="2" borderId="0" xfId="0" applyNumberFormat="1" applyFont="1" applyFill="1" applyAlignment="1">
      <alignment horizontal="right" vertical="center" indent="1"/>
    </xf>
    <xf numFmtId="10" fontId="4" fillId="2" borderId="0" xfId="4" applyNumberFormat="1" applyFont="1" applyFill="1" applyBorder="1" applyAlignment="1">
      <alignment horizontal="right" vertical="center" indent="1"/>
    </xf>
    <xf numFmtId="167" fontId="4" fillId="0" borderId="0" xfId="2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164" fontId="4" fillId="2" borderId="0" xfId="2" applyFont="1" applyFill="1" applyAlignment="1">
      <alignment horizontal="center" vertical="center"/>
    </xf>
  </cellXfs>
  <cellStyles count="5">
    <cellStyle name="Milliers 18" xfId="2" xr:uid="{2432DE8D-3297-47D0-807E-EF16E07A2885}"/>
    <cellStyle name="Milliers 2" xfId="3" xr:uid="{1B81AC7F-0DB8-42E6-97F1-F4BA09C91BBC}"/>
    <cellStyle name="Normal" xfId="0" builtinId="0"/>
    <cellStyle name="Pourcentage" xfId="1" builtinId="5"/>
    <cellStyle name="Pourcentage 2" xfId="4" xr:uid="{F85357F0-17B4-4388-A86A-E5004D086F49}"/>
  </cellStyles>
  <dxfs count="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ABFC-746A-4D7E-8154-66C03A60D282}">
  <sheetPr codeName="Feuil1"/>
  <dimension ref="A1:AS28"/>
  <sheetViews>
    <sheetView tabSelected="1" topLeftCell="D1" workbookViewId="0">
      <selection activeCell="M4" sqref="M4"/>
    </sheetView>
  </sheetViews>
  <sheetFormatPr baseColWidth="10" defaultColWidth="11.42578125" defaultRowHeight="14.25" x14ac:dyDescent="0.25"/>
  <cols>
    <col min="1" max="1" width="16.28515625" style="10" bestFit="1" customWidth="1"/>
    <col min="2" max="2" width="16.28515625" style="10" customWidth="1"/>
    <col min="3" max="3" width="41" style="10" bestFit="1" customWidth="1"/>
    <col min="4" max="4" width="12.85546875" style="4" customWidth="1"/>
    <col min="5" max="5" width="13" style="4" customWidth="1"/>
    <col min="6" max="6" width="14.7109375" style="4" customWidth="1"/>
    <col min="7" max="7" width="15.42578125" style="4" bestFit="1" customWidth="1"/>
    <col min="8" max="8" width="6.85546875" style="10" bestFit="1" customWidth="1"/>
    <col min="9" max="9" width="10" style="10" bestFit="1" customWidth="1"/>
    <col min="10" max="10" width="14.28515625" style="10" customWidth="1"/>
    <col min="11" max="11" width="11.5703125" style="10" customWidth="1"/>
    <col min="12" max="12" width="17" style="10" bestFit="1" customWidth="1"/>
    <col min="13" max="13" width="16.5703125" style="10" bestFit="1" customWidth="1"/>
    <col min="14" max="14" width="20.140625" style="10" customWidth="1"/>
    <col min="15" max="15" width="23.5703125" style="10" bestFit="1" customWidth="1"/>
    <col min="16" max="16" width="16.5703125" style="10" bestFit="1" customWidth="1"/>
    <col min="17" max="17" width="23.5703125" style="10" bestFit="1" customWidth="1"/>
    <col min="18" max="18" width="10.5703125" style="10" customWidth="1"/>
    <col min="19" max="19" width="14.42578125" style="10" customWidth="1"/>
    <col min="20" max="20" width="6.85546875" style="10" bestFit="1" customWidth="1"/>
    <col min="21" max="22" width="10.42578125" style="10" bestFit="1" customWidth="1"/>
    <col min="23" max="23" width="14.5703125" style="10" bestFit="1" customWidth="1"/>
    <col min="24" max="24" width="19.42578125" style="10" bestFit="1" customWidth="1"/>
    <col min="25" max="25" width="15.28515625" style="10" bestFit="1" customWidth="1"/>
    <col min="26" max="26" width="11.42578125" style="10"/>
    <col min="27" max="27" width="11.7109375" style="10" bestFit="1" customWidth="1"/>
    <col min="28" max="28" width="14.5703125" style="10" bestFit="1" customWidth="1"/>
    <col min="29" max="30" width="12.42578125" style="10" bestFit="1" customWidth="1"/>
    <col min="31" max="31" width="15.85546875" style="11" bestFit="1" customWidth="1"/>
    <col min="32" max="32" width="24" style="10" bestFit="1" customWidth="1"/>
    <col min="33" max="33" width="13.5703125" style="12" bestFit="1" customWidth="1"/>
    <col min="34" max="34" width="11.28515625" style="12" bestFit="1" customWidth="1"/>
    <col min="35" max="35" width="9.28515625" style="10" customWidth="1"/>
    <col min="36" max="37" width="24.7109375" style="10" bestFit="1" customWidth="1"/>
    <col min="38" max="38" width="20.5703125" style="10" bestFit="1" customWidth="1"/>
    <col min="39" max="39" width="15.28515625" style="10" bestFit="1" customWidth="1"/>
    <col min="40" max="40" width="22.42578125" style="10" bestFit="1" customWidth="1"/>
    <col min="41" max="41" width="14.140625" style="10" bestFit="1" customWidth="1"/>
    <col min="42" max="42" width="9" style="10" bestFit="1" customWidth="1"/>
    <col min="43" max="43" width="7.85546875" style="10" bestFit="1" customWidth="1"/>
    <col min="44" max="44" width="23" style="10" bestFit="1" customWidth="1"/>
    <col min="45" max="16384" width="11.42578125" style="10"/>
  </cols>
  <sheetData>
    <row r="1" spans="1:45" s="1" customFormat="1" ht="47.25" customHeight="1" thickBot="1" x14ac:dyDescent="0.3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12</v>
      </c>
      <c r="N1" s="18" t="s">
        <v>13</v>
      </c>
      <c r="O1" s="19" t="s">
        <v>14</v>
      </c>
      <c r="P1" s="18" t="s">
        <v>15</v>
      </c>
      <c r="Q1" s="19" t="s">
        <v>16</v>
      </c>
      <c r="R1" s="19" t="s">
        <v>17</v>
      </c>
      <c r="S1" s="19" t="s">
        <v>18</v>
      </c>
      <c r="T1" s="15" t="s">
        <v>19</v>
      </c>
      <c r="U1" s="20" t="s">
        <v>20</v>
      </c>
      <c r="V1" s="20" t="s">
        <v>21</v>
      </c>
      <c r="W1" s="17" t="s">
        <v>22</v>
      </c>
      <c r="X1" s="14" t="s">
        <v>23</v>
      </c>
      <c r="Y1" s="14" t="s">
        <v>24</v>
      </c>
      <c r="Z1" s="21" t="s">
        <v>25</v>
      </c>
      <c r="AA1" s="14" t="s">
        <v>26</v>
      </c>
      <c r="AB1" s="17" t="s">
        <v>27</v>
      </c>
      <c r="AC1" s="14" t="s">
        <v>28</v>
      </c>
      <c r="AD1" s="14" t="s">
        <v>29</v>
      </c>
      <c r="AE1" s="18" t="s">
        <v>30</v>
      </c>
      <c r="AF1" s="14" t="s">
        <v>31</v>
      </c>
      <c r="AG1" s="22" t="s">
        <v>32</v>
      </c>
      <c r="AH1" s="23" t="s">
        <v>33</v>
      </c>
      <c r="AI1" s="14" t="s">
        <v>20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24"/>
    </row>
    <row r="2" spans="1:45" x14ac:dyDescent="0.25">
      <c r="A2" s="2" t="s">
        <v>53</v>
      </c>
      <c r="B2" s="25">
        <v>9770</v>
      </c>
      <c r="C2" s="3" t="s">
        <v>54</v>
      </c>
      <c r="D2" s="4">
        <v>46134</v>
      </c>
      <c r="E2" s="4">
        <v>46134</v>
      </c>
      <c r="F2" s="4">
        <v>46265</v>
      </c>
      <c r="G2" s="4">
        <v>49787</v>
      </c>
      <c r="H2" s="5">
        <f t="shared" ref="H2:H21" si="0">IF(D2=E2,0,IF(F2&gt;EDATE(E2,12),0,1))</f>
        <v>0</v>
      </c>
      <c r="I2" s="26">
        <v>3.9399999999999998E-2</v>
      </c>
      <c r="J2" s="26" t="s">
        <v>55</v>
      </c>
      <c r="K2" s="27">
        <f t="shared" ref="K2:K21" si="1">IF(J2="AN",1,IF(J2="SEM",2,4))</f>
        <v>1</v>
      </c>
      <c r="L2" s="26" t="s">
        <v>55</v>
      </c>
      <c r="M2" s="28">
        <v>1500</v>
      </c>
      <c r="N2" s="28">
        <f t="shared" ref="N2:N21" si="2">IF(L2="FIN",P2,P2-S2*(R2-AA2))</f>
        <v>0</v>
      </c>
      <c r="O2" s="28">
        <f t="shared" ref="O2:O21" si="3">N2*M2</f>
        <v>0</v>
      </c>
      <c r="P2" s="28">
        <v>100000</v>
      </c>
      <c r="Q2" s="28">
        <f t="shared" ref="Q2:Q21" si="4">P2*M2</f>
        <v>150000000</v>
      </c>
      <c r="R2" s="29">
        <f t="shared" ref="R2:R21" si="5">COUPNUM($E2,$G2,$K2,1)</f>
        <v>10</v>
      </c>
      <c r="S2" s="28">
        <f t="shared" ref="S2:S21" si="6">IF(L2="FIN",0,P2/R2)</f>
        <v>10000</v>
      </c>
      <c r="T2" s="26">
        <v>8.0000000000000002E-3</v>
      </c>
      <c r="U2" s="7">
        <f t="shared" ref="U2:U21" si="7">V2+T2</f>
        <v>4.5789999999999997E-2</v>
      </c>
      <c r="V2" s="8">
        <v>3.7789999999999997E-2</v>
      </c>
      <c r="W2" s="28"/>
      <c r="X2" s="28"/>
      <c r="Y2" s="28"/>
      <c r="Z2" s="28"/>
      <c r="AB2" s="30"/>
      <c r="AC2" s="4"/>
      <c r="AD2" s="4"/>
      <c r="AE2" s="31"/>
      <c r="AF2" s="28"/>
      <c r="AG2" s="31"/>
      <c r="AH2" s="31"/>
      <c r="AI2" s="32"/>
      <c r="AJ2" s="28"/>
      <c r="AK2" s="28"/>
      <c r="AL2" s="28"/>
      <c r="AM2" s="28"/>
      <c r="AN2" s="28"/>
      <c r="AO2" s="28"/>
      <c r="AP2" s="26"/>
      <c r="AQ2" s="6"/>
      <c r="AR2" s="6"/>
    </row>
    <row r="3" spans="1:45" x14ac:dyDescent="0.25">
      <c r="A3" s="2" t="s">
        <v>45</v>
      </c>
      <c r="B3" s="25">
        <v>201678</v>
      </c>
      <c r="C3" s="3" t="s">
        <v>46</v>
      </c>
      <c r="D3" s="4">
        <v>44606</v>
      </c>
      <c r="E3" s="4">
        <v>44852</v>
      </c>
      <c r="F3" s="4">
        <v>46265</v>
      </c>
      <c r="G3" s="4">
        <v>46678</v>
      </c>
      <c r="H3" s="5">
        <f t="shared" si="0"/>
        <v>0</v>
      </c>
      <c r="I3" s="26">
        <v>2.1000000000000001E-2</v>
      </c>
      <c r="J3" s="26" t="s">
        <v>55</v>
      </c>
      <c r="K3" s="27">
        <f t="shared" si="1"/>
        <v>1</v>
      </c>
      <c r="L3" s="26" t="s">
        <v>56</v>
      </c>
      <c r="M3" s="28">
        <v>12280</v>
      </c>
      <c r="N3" s="28">
        <f t="shared" si="2"/>
        <v>100000</v>
      </c>
      <c r="O3" s="28">
        <f t="shared" si="3"/>
        <v>1228000000</v>
      </c>
      <c r="P3" s="28">
        <v>100000</v>
      </c>
      <c r="Q3" s="28">
        <f t="shared" si="4"/>
        <v>1228000000</v>
      </c>
      <c r="R3" s="29">
        <f t="shared" si="5"/>
        <v>5</v>
      </c>
      <c r="S3" s="28">
        <f t="shared" si="6"/>
        <v>0</v>
      </c>
      <c r="T3" s="26">
        <v>0</v>
      </c>
      <c r="U3" s="7">
        <f t="shared" si="7"/>
        <v>2.2550000000000001E-2</v>
      </c>
      <c r="V3" s="8">
        <v>2.2550000000000001E-2</v>
      </c>
      <c r="W3" s="28"/>
      <c r="X3" s="28"/>
      <c r="Y3" s="28"/>
      <c r="Z3" s="28"/>
      <c r="AB3" s="30"/>
      <c r="AC3" s="4"/>
      <c r="AD3" s="4"/>
      <c r="AE3" s="31"/>
      <c r="AF3" s="28"/>
      <c r="AG3" s="31"/>
      <c r="AH3" s="31"/>
      <c r="AI3" s="32"/>
      <c r="AJ3" s="28"/>
      <c r="AK3" s="28"/>
      <c r="AL3" s="28"/>
      <c r="AM3" s="28"/>
      <c r="AN3" s="28"/>
      <c r="AO3" s="28"/>
      <c r="AP3" s="26"/>
      <c r="AQ3" s="6"/>
      <c r="AR3" s="6"/>
    </row>
    <row r="4" spans="1:45" x14ac:dyDescent="0.25">
      <c r="A4" s="2" t="s">
        <v>51</v>
      </c>
      <c r="B4" s="25">
        <v>201516</v>
      </c>
      <c r="C4" s="3" t="s">
        <v>52</v>
      </c>
      <c r="D4" s="4">
        <v>43115</v>
      </c>
      <c r="E4" s="4">
        <v>43299</v>
      </c>
      <c r="F4" s="4">
        <v>46265</v>
      </c>
      <c r="G4" s="4">
        <v>48778</v>
      </c>
      <c r="H4" s="5">
        <f t="shared" si="0"/>
        <v>0</v>
      </c>
      <c r="I4" s="26">
        <v>3.7000000000000005E-2</v>
      </c>
      <c r="J4" s="26" t="s">
        <v>55</v>
      </c>
      <c r="K4" s="27">
        <f t="shared" si="1"/>
        <v>1</v>
      </c>
      <c r="L4" s="26" t="s">
        <v>56</v>
      </c>
      <c r="M4" s="28">
        <v>9623</v>
      </c>
      <c r="N4" s="28">
        <f t="shared" si="2"/>
        <v>100000</v>
      </c>
      <c r="O4" s="28">
        <f t="shared" si="3"/>
        <v>962300000</v>
      </c>
      <c r="P4" s="28">
        <v>100000</v>
      </c>
      <c r="Q4" s="28">
        <f t="shared" si="4"/>
        <v>962300000</v>
      </c>
      <c r="R4" s="29">
        <f t="shared" si="5"/>
        <v>15</v>
      </c>
      <c r="S4" s="28">
        <f t="shared" si="6"/>
        <v>0</v>
      </c>
      <c r="T4" s="26">
        <v>0</v>
      </c>
      <c r="U4" s="7">
        <f t="shared" si="7"/>
        <v>3.0280000000000001E-2</v>
      </c>
      <c r="V4" s="8">
        <v>3.0280000000000001E-2</v>
      </c>
      <c r="W4" s="28"/>
      <c r="X4" s="28"/>
      <c r="Y4" s="28"/>
      <c r="Z4" s="28"/>
      <c r="AB4" s="30"/>
      <c r="AC4" s="4"/>
      <c r="AD4" s="4"/>
      <c r="AE4" s="31"/>
      <c r="AF4" s="28"/>
      <c r="AG4" s="31"/>
      <c r="AH4" s="31"/>
      <c r="AI4" s="32"/>
      <c r="AJ4" s="28"/>
      <c r="AK4" s="28"/>
      <c r="AL4" s="28"/>
      <c r="AM4" s="28"/>
      <c r="AN4" s="28"/>
      <c r="AO4" s="28"/>
      <c r="AP4" s="26"/>
      <c r="AQ4" s="6"/>
      <c r="AR4" s="6"/>
    </row>
    <row r="5" spans="1:45" x14ac:dyDescent="0.25">
      <c r="A5" s="2" t="s">
        <v>43</v>
      </c>
      <c r="B5" s="25">
        <v>201465</v>
      </c>
      <c r="C5" s="3" t="s">
        <v>44</v>
      </c>
      <c r="D5" s="4">
        <v>42618</v>
      </c>
      <c r="E5" s="4">
        <v>42900</v>
      </c>
      <c r="F5" s="4">
        <v>46265</v>
      </c>
      <c r="G5" s="4">
        <v>46552</v>
      </c>
      <c r="H5" s="5">
        <f t="shared" si="0"/>
        <v>0</v>
      </c>
      <c r="I5" s="26">
        <v>3.2000000000000001E-2</v>
      </c>
      <c r="J5" s="26" t="s">
        <v>55</v>
      </c>
      <c r="K5" s="27">
        <f t="shared" si="1"/>
        <v>1</v>
      </c>
      <c r="L5" s="26" t="s">
        <v>56</v>
      </c>
      <c r="M5" s="28">
        <v>4506</v>
      </c>
      <c r="N5" s="28">
        <f t="shared" si="2"/>
        <v>100000</v>
      </c>
      <c r="O5" s="28">
        <f t="shared" si="3"/>
        <v>450600000</v>
      </c>
      <c r="P5" s="28">
        <v>100000</v>
      </c>
      <c r="Q5" s="28">
        <f t="shared" si="4"/>
        <v>450600000</v>
      </c>
      <c r="R5" s="29">
        <f t="shared" si="5"/>
        <v>10</v>
      </c>
      <c r="S5" s="28">
        <f t="shared" si="6"/>
        <v>0</v>
      </c>
      <c r="T5" s="26">
        <v>0</v>
      </c>
      <c r="U5" s="7">
        <f t="shared" si="7"/>
        <v>2.2120000000000001E-2</v>
      </c>
      <c r="V5" s="8">
        <v>2.2120000000000001E-2</v>
      </c>
      <c r="W5" s="28"/>
      <c r="X5" s="28"/>
      <c r="Y5" s="28"/>
      <c r="Z5" s="28"/>
      <c r="AB5" s="30"/>
      <c r="AC5" s="4"/>
      <c r="AD5" s="4"/>
      <c r="AE5" s="31"/>
      <c r="AF5" s="28"/>
      <c r="AG5" s="31"/>
      <c r="AH5" s="31"/>
      <c r="AI5" s="32"/>
      <c r="AJ5" s="28"/>
      <c r="AK5" s="28"/>
      <c r="AL5" s="28"/>
      <c r="AM5" s="28"/>
      <c r="AN5" s="28"/>
      <c r="AO5" s="28"/>
      <c r="AP5" s="26"/>
      <c r="AQ5" s="6"/>
      <c r="AR5" s="6"/>
    </row>
    <row r="6" spans="1:45" x14ac:dyDescent="0.25">
      <c r="A6" s="2" t="s">
        <v>49</v>
      </c>
      <c r="B6" s="25">
        <v>201432</v>
      </c>
      <c r="C6" s="3" t="s">
        <v>50</v>
      </c>
      <c r="D6" s="4">
        <v>42506</v>
      </c>
      <c r="E6" s="4">
        <v>42569</v>
      </c>
      <c r="F6" s="4">
        <v>46265</v>
      </c>
      <c r="G6" s="4">
        <v>48047</v>
      </c>
      <c r="H6" s="5">
        <f t="shared" si="0"/>
        <v>0</v>
      </c>
      <c r="I6" s="26">
        <v>3.2000000000000001E-2</v>
      </c>
      <c r="J6" s="26" t="s">
        <v>55</v>
      </c>
      <c r="K6" s="27">
        <f t="shared" si="1"/>
        <v>1</v>
      </c>
      <c r="L6" s="26" t="s">
        <v>56</v>
      </c>
      <c r="M6" s="28">
        <v>23665</v>
      </c>
      <c r="N6" s="28">
        <f t="shared" si="2"/>
        <v>100000</v>
      </c>
      <c r="O6" s="28">
        <f t="shared" si="3"/>
        <v>2366500000</v>
      </c>
      <c r="P6" s="28">
        <v>100000</v>
      </c>
      <c r="Q6" s="28">
        <f t="shared" si="4"/>
        <v>2366500000</v>
      </c>
      <c r="R6" s="29">
        <f t="shared" si="5"/>
        <v>15</v>
      </c>
      <c r="S6" s="28">
        <f t="shared" si="6"/>
        <v>0</v>
      </c>
      <c r="T6" s="26">
        <v>0</v>
      </c>
      <c r="U6" s="7">
        <f t="shared" si="7"/>
        <v>2.8660000000000001E-2</v>
      </c>
      <c r="V6" s="8">
        <v>2.8660000000000001E-2</v>
      </c>
      <c r="W6" s="28"/>
      <c r="X6" s="28"/>
      <c r="Y6" s="28"/>
      <c r="Z6" s="28"/>
      <c r="AB6" s="30"/>
      <c r="AC6" s="4"/>
      <c r="AD6" s="4"/>
      <c r="AE6" s="31"/>
      <c r="AF6" s="28"/>
      <c r="AG6" s="31"/>
      <c r="AH6" s="31"/>
      <c r="AI6" s="32"/>
      <c r="AJ6" s="28"/>
      <c r="AK6" s="28"/>
      <c r="AL6" s="28"/>
      <c r="AM6" s="28"/>
      <c r="AN6" s="28"/>
      <c r="AO6" s="28"/>
      <c r="AP6" s="26"/>
      <c r="AQ6" s="6"/>
      <c r="AR6" s="6"/>
    </row>
    <row r="7" spans="1:45" x14ac:dyDescent="0.25">
      <c r="A7" s="2" t="s">
        <v>47</v>
      </c>
      <c r="B7" s="25">
        <v>201317</v>
      </c>
      <c r="C7" s="3" t="s">
        <v>48</v>
      </c>
      <c r="D7" s="4">
        <v>41645</v>
      </c>
      <c r="E7" s="4">
        <v>41745</v>
      </c>
      <c r="F7" s="4">
        <v>46265</v>
      </c>
      <c r="G7" s="4">
        <v>47224</v>
      </c>
      <c r="H7" s="5">
        <f t="shared" si="0"/>
        <v>0</v>
      </c>
      <c r="I7" s="26">
        <v>5.5999999999999994E-2</v>
      </c>
      <c r="J7" s="26" t="s">
        <v>55</v>
      </c>
      <c r="K7" s="27">
        <f t="shared" si="1"/>
        <v>1</v>
      </c>
      <c r="L7" s="26" t="s">
        <v>56</v>
      </c>
      <c r="M7" s="28">
        <v>17058</v>
      </c>
      <c r="N7" s="28">
        <f t="shared" si="2"/>
        <v>100000</v>
      </c>
      <c r="O7" s="28">
        <f t="shared" si="3"/>
        <v>1705800000</v>
      </c>
      <c r="P7" s="28">
        <v>100000</v>
      </c>
      <c r="Q7" s="28">
        <f t="shared" si="4"/>
        <v>1705800000</v>
      </c>
      <c r="R7" s="29">
        <f t="shared" si="5"/>
        <v>15</v>
      </c>
      <c r="S7" s="28">
        <f t="shared" si="6"/>
        <v>0</v>
      </c>
      <c r="T7" s="26">
        <v>0</v>
      </c>
      <c r="U7" s="7">
        <f t="shared" si="7"/>
        <v>2.5520000000000001E-2</v>
      </c>
      <c r="V7" s="8">
        <v>2.5520000000000001E-2</v>
      </c>
      <c r="W7" s="28"/>
      <c r="X7" s="28"/>
      <c r="Y7" s="28"/>
      <c r="Z7" s="28"/>
      <c r="AB7" s="30"/>
      <c r="AC7" s="4"/>
      <c r="AD7" s="4"/>
      <c r="AE7" s="31"/>
      <c r="AF7" s="28"/>
      <c r="AG7" s="31"/>
      <c r="AH7" s="31"/>
      <c r="AI7" s="32"/>
      <c r="AJ7" s="28"/>
      <c r="AK7" s="28"/>
      <c r="AL7" s="28"/>
      <c r="AM7" s="28"/>
      <c r="AN7" s="28"/>
      <c r="AO7" s="28"/>
      <c r="AP7" s="26"/>
      <c r="AQ7" s="6"/>
      <c r="AR7" s="6"/>
    </row>
    <row r="8" spans="1:45" x14ac:dyDescent="0.25">
      <c r="A8" s="2" t="s">
        <v>57</v>
      </c>
      <c r="B8" s="25">
        <v>9780</v>
      </c>
      <c r="C8" s="3" t="s">
        <v>58</v>
      </c>
      <c r="D8" s="4">
        <v>46168</v>
      </c>
      <c r="E8" s="4">
        <v>46168</v>
      </c>
      <c r="F8" s="4">
        <v>46265</v>
      </c>
      <c r="G8" s="4">
        <v>48725</v>
      </c>
      <c r="H8" s="5">
        <f t="shared" si="0"/>
        <v>0</v>
      </c>
      <c r="I8" s="26">
        <v>3.6699999999999997E-2</v>
      </c>
      <c r="J8" s="26" t="s">
        <v>55</v>
      </c>
      <c r="K8" s="27">
        <f t="shared" si="1"/>
        <v>1</v>
      </c>
      <c r="L8" s="26" t="s">
        <v>55</v>
      </c>
      <c r="M8" s="28">
        <v>1000</v>
      </c>
      <c r="N8" s="28">
        <f t="shared" si="2"/>
        <v>0</v>
      </c>
      <c r="O8" s="28">
        <f t="shared" si="3"/>
        <v>0</v>
      </c>
      <c r="P8" s="28">
        <v>100000</v>
      </c>
      <c r="Q8" s="28">
        <f t="shared" si="4"/>
        <v>100000000</v>
      </c>
      <c r="R8" s="29">
        <f t="shared" si="5"/>
        <v>7</v>
      </c>
      <c r="S8" s="28">
        <f t="shared" si="6"/>
        <v>14285.714285714286</v>
      </c>
      <c r="T8" s="26">
        <v>8.9999999999999993E-3</v>
      </c>
      <c r="U8" s="7">
        <f t="shared" si="7"/>
        <v>4.6249999999999999E-2</v>
      </c>
      <c r="V8" s="8">
        <v>3.7249999999999998E-2</v>
      </c>
      <c r="W8" s="28"/>
      <c r="X8" s="28"/>
      <c r="Y8" s="28"/>
      <c r="Z8" s="28"/>
      <c r="AB8" s="30"/>
      <c r="AC8" s="4"/>
      <c r="AD8" s="4"/>
      <c r="AE8" s="31"/>
      <c r="AF8" s="28"/>
      <c r="AG8" s="31"/>
      <c r="AH8" s="31"/>
      <c r="AI8" s="32"/>
      <c r="AJ8" s="28"/>
      <c r="AK8" s="28"/>
      <c r="AL8" s="28"/>
      <c r="AM8" s="28"/>
      <c r="AN8" s="28"/>
      <c r="AO8" s="28"/>
      <c r="AP8" s="26"/>
      <c r="AQ8" s="6"/>
      <c r="AR8" s="6"/>
    </row>
    <row r="9" spans="1:45" x14ac:dyDescent="0.25">
      <c r="A9" s="2" t="s">
        <v>59</v>
      </c>
      <c r="B9" s="25">
        <v>9774</v>
      </c>
      <c r="C9" s="3" t="s">
        <v>60</v>
      </c>
      <c r="D9" s="4">
        <v>46154</v>
      </c>
      <c r="E9" s="4">
        <v>46154</v>
      </c>
      <c r="F9" s="4">
        <v>46265</v>
      </c>
      <c r="G9" s="4">
        <v>49807</v>
      </c>
      <c r="H9" s="5">
        <f t="shared" si="0"/>
        <v>0</v>
      </c>
      <c r="I9" s="26">
        <v>4.2099999999999999E-2</v>
      </c>
      <c r="J9" s="26" t="s">
        <v>55</v>
      </c>
      <c r="K9" s="27">
        <f t="shared" si="1"/>
        <v>1</v>
      </c>
      <c r="L9" s="26" t="s">
        <v>55</v>
      </c>
      <c r="M9" s="28">
        <v>1500</v>
      </c>
      <c r="N9" s="28">
        <f t="shared" si="2"/>
        <v>0</v>
      </c>
      <c r="O9" s="28">
        <f t="shared" si="3"/>
        <v>0</v>
      </c>
      <c r="P9" s="28">
        <v>100000</v>
      </c>
      <c r="Q9" s="28">
        <f t="shared" si="4"/>
        <v>150000000</v>
      </c>
      <c r="R9" s="29">
        <f t="shared" si="5"/>
        <v>10</v>
      </c>
      <c r="S9" s="28">
        <f t="shared" si="6"/>
        <v>10000</v>
      </c>
      <c r="T9" s="26">
        <v>1.2E-2</v>
      </c>
      <c r="U9" s="7">
        <f t="shared" si="7"/>
        <v>5.3790000000000004E-2</v>
      </c>
      <c r="V9" s="8">
        <v>4.1790000000000001E-2</v>
      </c>
      <c r="W9" s="28"/>
      <c r="X9" s="28"/>
      <c r="Y9" s="28"/>
      <c r="Z9" s="28"/>
      <c r="AB9" s="30"/>
      <c r="AC9" s="4"/>
      <c r="AD9" s="4"/>
      <c r="AE9" s="31"/>
      <c r="AF9" s="28"/>
      <c r="AG9" s="31"/>
      <c r="AH9" s="31"/>
      <c r="AI9" s="32"/>
      <c r="AJ9" s="28"/>
      <c r="AK9" s="28"/>
      <c r="AL9" s="28"/>
      <c r="AM9" s="28"/>
      <c r="AN9" s="28"/>
      <c r="AO9" s="28"/>
      <c r="AP9" s="26"/>
      <c r="AQ9" s="6"/>
      <c r="AR9" s="6"/>
    </row>
    <row r="10" spans="1:45" x14ac:dyDescent="0.25">
      <c r="A10" s="2" t="s">
        <v>61</v>
      </c>
      <c r="B10" s="25">
        <v>9651</v>
      </c>
      <c r="C10" s="3" t="s">
        <v>62</v>
      </c>
      <c r="D10" s="4">
        <v>45652</v>
      </c>
      <c r="E10" s="4">
        <v>45652</v>
      </c>
      <c r="F10" s="4">
        <v>46265</v>
      </c>
      <c r="G10" s="4">
        <v>48208</v>
      </c>
      <c r="H10" s="5">
        <f t="shared" si="0"/>
        <v>0</v>
      </c>
      <c r="I10" s="26">
        <v>3.5299999999999998E-2</v>
      </c>
      <c r="J10" s="26" t="s">
        <v>55</v>
      </c>
      <c r="K10" s="27">
        <f t="shared" si="1"/>
        <v>1</v>
      </c>
      <c r="L10" s="26" t="s">
        <v>55</v>
      </c>
      <c r="M10" s="28">
        <v>896</v>
      </c>
      <c r="N10" s="28">
        <f t="shared" si="2"/>
        <v>0</v>
      </c>
      <c r="O10" s="28">
        <f t="shared" si="3"/>
        <v>0</v>
      </c>
      <c r="P10" s="28">
        <v>100000</v>
      </c>
      <c r="Q10" s="28">
        <f t="shared" si="4"/>
        <v>89600000</v>
      </c>
      <c r="R10" s="29">
        <f t="shared" si="5"/>
        <v>7</v>
      </c>
      <c r="S10" s="28">
        <f t="shared" si="6"/>
        <v>14285.714285714286</v>
      </c>
      <c r="T10" s="26">
        <v>5.0000000000000001E-3</v>
      </c>
      <c r="U10" s="7">
        <f t="shared" si="7"/>
        <v>3.721E-2</v>
      </c>
      <c r="V10" s="8">
        <v>3.2210000000000003E-2</v>
      </c>
      <c r="W10" s="28"/>
      <c r="X10" s="28"/>
      <c r="Y10" s="28"/>
      <c r="Z10" s="28"/>
      <c r="AB10" s="30"/>
      <c r="AC10" s="4"/>
      <c r="AD10" s="4"/>
      <c r="AE10" s="31"/>
      <c r="AF10" s="28"/>
      <c r="AG10" s="31"/>
      <c r="AH10" s="31"/>
      <c r="AI10" s="32"/>
      <c r="AJ10" s="28"/>
      <c r="AK10" s="28"/>
      <c r="AL10" s="28"/>
      <c r="AM10" s="28"/>
      <c r="AN10" s="28"/>
      <c r="AO10" s="28"/>
      <c r="AP10" s="26"/>
      <c r="AQ10" s="6"/>
      <c r="AR10" s="6"/>
    </row>
    <row r="11" spans="1:45" x14ac:dyDescent="0.25">
      <c r="A11" s="2" t="s">
        <v>63</v>
      </c>
      <c r="B11" s="25">
        <v>9634</v>
      </c>
      <c r="C11" s="3" t="s">
        <v>64</v>
      </c>
      <c r="D11" s="4">
        <v>45499</v>
      </c>
      <c r="E11" s="4">
        <v>45499</v>
      </c>
      <c r="F11" s="4">
        <v>46265</v>
      </c>
      <c r="G11" s="4">
        <v>50977</v>
      </c>
      <c r="H11" s="5">
        <f t="shared" si="0"/>
        <v>0</v>
      </c>
      <c r="I11" s="26">
        <v>5.0499999999999996E-2</v>
      </c>
      <c r="J11" s="26" t="s">
        <v>55</v>
      </c>
      <c r="K11" s="27">
        <f t="shared" si="1"/>
        <v>1</v>
      </c>
      <c r="L11" s="26" t="s">
        <v>56</v>
      </c>
      <c r="M11" s="28">
        <v>1000</v>
      </c>
      <c r="N11" s="28">
        <f t="shared" si="2"/>
        <v>100000</v>
      </c>
      <c r="O11" s="28">
        <f t="shared" si="3"/>
        <v>100000000</v>
      </c>
      <c r="P11" s="28">
        <v>100000</v>
      </c>
      <c r="Q11" s="28">
        <f t="shared" si="4"/>
        <v>100000000</v>
      </c>
      <c r="R11" s="29">
        <f t="shared" si="5"/>
        <v>15</v>
      </c>
      <c r="S11" s="28">
        <f t="shared" si="6"/>
        <v>0</v>
      </c>
      <c r="T11" s="26">
        <v>1.2500000000000001E-2</v>
      </c>
      <c r="U11" s="7">
        <f t="shared" si="7"/>
        <v>6.1399999999999996E-2</v>
      </c>
      <c r="V11" s="8">
        <v>4.8899999999999999E-2</v>
      </c>
      <c r="W11" s="28"/>
      <c r="X11" s="28"/>
      <c r="Y11" s="28"/>
      <c r="Z11" s="28"/>
      <c r="AB11" s="30"/>
      <c r="AC11" s="4"/>
      <c r="AD11" s="4"/>
      <c r="AE11" s="31"/>
      <c r="AF11" s="28"/>
      <c r="AG11" s="31"/>
      <c r="AH11" s="31"/>
      <c r="AI11" s="32"/>
      <c r="AJ11" s="28"/>
      <c r="AK11" s="28"/>
      <c r="AL11" s="28"/>
      <c r="AM11" s="28"/>
      <c r="AN11" s="28"/>
      <c r="AO11" s="28"/>
      <c r="AP11" s="26"/>
      <c r="AQ11" s="6"/>
      <c r="AR11" s="6"/>
    </row>
    <row r="12" spans="1:45" x14ac:dyDescent="0.25">
      <c r="A12" s="2" t="s">
        <v>65</v>
      </c>
      <c r="B12" s="25">
        <v>9372</v>
      </c>
      <c r="C12" s="3" t="s">
        <v>66</v>
      </c>
      <c r="D12" s="4">
        <v>43300</v>
      </c>
      <c r="E12" s="4">
        <v>43300</v>
      </c>
      <c r="F12" s="4">
        <v>46265</v>
      </c>
      <c r="G12" s="4">
        <v>48779</v>
      </c>
      <c r="H12" s="5">
        <f t="shared" si="0"/>
        <v>0</v>
      </c>
      <c r="I12" s="26">
        <v>3.8399999999999997E-2</v>
      </c>
      <c r="J12" s="26" t="s">
        <v>55</v>
      </c>
      <c r="K12" s="27">
        <f t="shared" si="1"/>
        <v>1</v>
      </c>
      <c r="L12" s="26" t="s">
        <v>55</v>
      </c>
      <c r="M12" s="28">
        <v>3062</v>
      </c>
      <c r="N12" s="28">
        <f t="shared" si="2"/>
        <v>0</v>
      </c>
      <c r="O12" s="28">
        <f t="shared" si="3"/>
        <v>0</v>
      </c>
      <c r="P12" s="28">
        <v>100000</v>
      </c>
      <c r="Q12" s="28">
        <f t="shared" si="4"/>
        <v>306200000</v>
      </c>
      <c r="R12" s="29">
        <f t="shared" si="5"/>
        <v>15</v>
      </c>
      <c r="S12" s="28">
        <f t="shared" si="6"/>
        <v>6666.666666666667</v>
      </c>
      <c r="T12" s="26">
        <v>6.0000000000000001E-3</v>
      </c>
      <c r="U12" s="7">
        <f t="shared" si="7"/>
        <v>4.018E-2</v>
      </c>
      <c r="V12" s="8">
        <v>3.4180000000000002E-2</v>
      </c>
      <c r="W12" s="28"/>
      <c r="X12" s="28"/>
      <c r="Y12" s="28"/>
      <c r="Z12" s="28"/>
      <c r="AB12" s="30"/>
      <c r="AC12" s="4"/>
      <c r="AD12" s="4"/>
      <c r="AE12" s="31"/>
      <c r="AF12" s="28"/>
      <c r="AG12" s="31"/>
      <c r="AH12" s="31"/>
      <c r="AI12" s="32"/>
      <c r="AJ12" s="28"/>
      <c r="AK12" s="28"/>
      <c r="AL12" s="28"/>
      <c r="AM12" s="28"/>
      <c r="AN12" s="28"/>
      <c r="AO12" s="28"/>
      <c r="AP12" s="26"/>
      <c r="AQ12" s="6"/>
      <c r="AR12" s="6"/>
    </row>
    <row r="13" spans="1:45" x14ac:dyDescent="0.25">
      <c r="A13" s="2" t="s">
        <v>67</v>
      </c>
      <c r="B13" s="25">
        <v>9308</v>
      </c>
      <c r="C13" s="3" t="s">
        <v>68</v>
      </c>
      <c r="D13" s="4">
        <v>42750</v>
      </c>
      <c r="E13" s="4">
        <v>42750</v>
      </c>
      <c r="F13" s="4">
        <v>46265</v>
      </c>
      <c r="G13" s="4">
        <v>49324</v>
      </c>
      <c r="H13" s="5">
        <f t="shared" si="0"/>
        <v>0</v>
      </c>
      <c r="I13" s="26">
        <v>3.3399999999999999E-2</v>
      </c>
      <c r="J13" s="26" t="s">
        <v>55</v>
      </c>
      <c r="K13" s="27">
        <f t="shared" si="1"/>
        <v>1</v>
      </c>
      <c r="L13" s="26" t="s">
        <v>55</v>
      </c>
      <c r="M13" s="28">
        <v>9000000</v>
      </c>
      <c r="N13" s="28">
        <f t="shared" si="2"/>
        <v>0</v>
      </c>
      <c r="O13" s="28">
        <f t="shared" si="3"/>
        <v>0</v>
      </c>
      <c r="P13" s="28">
        <v>100</v>
      </c>
      <c r="Q13" s="28">
        <f t="shared" si="4"/>
        <v>900000000</v>
      </c>
      <c r="R13" s="29">
        <f t="shared" si="5"/>
        <v>18</v>
      </c>
      <c r="S13" s="28">
        <f t="shared" si="6"/>
        <v>5.5555555555555554</v>
      </c>
      <c r="T13" s="26">
        <v>1E-3</v>
      </c>
      <c r="U13" s="7">
        <f t="shared" si="7"/>
        <v>3.1059999999999997E-2</v>
      </c>
      <c r="V13" s="8">
        <v>3.0059999999999996E-2</v>
      </c>
      <c r="W13" s="28"/>
      <c r="X13" s="28"/>
      <c r="Y13" s="28"/>
      <c r="Z13" s="28"/>
      <c r="AB13" s="30"/>
      <c r="AC13" s="4"/>
      <c r="AD13" s="4"/>
      <c r="AE13" s="31"/>
      <c r="AF13" s="28"/>
      <c r="AG13" s="31"/>
      <c r="AH13" s="31"/>
      <c r="AI13" s="32"/>
      <c r="AJ13" s="28"/>
      <c r="AK13" s="28"/>
      <c r="AL13" s="28"/>
      <c r="AM13" s="28"/>
      <c r="AN13" s="28"/>
      <c r="AO13" s="28"/>
      <c r="AP13" s="26"/>
      <c r="AQ13" s="6"/>
      <c r="AR13" s="6"/>
    </row>
    <row r="14" spans="1:45" x14ac:dyDescent="0.25">
      <c r="A14" s="2" t="s">
        <v>69</v>
      </c>
      <c r="B14" s="25">
        <v>9263</v>
      </c>
      <c r="C14" s="3" t="s">
        <v>70</v>
      </c>
      <c r="D14" s="4">
        <v>42198</v>
      </c>
      <c r="E14" s="4">
        <v>42198</v>
      </c>
      <c r="F14" s="4">
        <v>46265</v>
      </c>
      <c r="G14" s="4">
        <v>47677</v>
      </c>
      <c r="H14" s="5">
        <f t="shared" si="0"/>
        <v>0</v>
      </c>
      <c r="I14" s="26">
        <v>4.5999999999999999E-2</v>
      </c>
      <c r="J14" s="26" t="s">
        <v>55</v>
      </c>
      <c r="K14" s="27">
        <f t="shared" si="1"/>
        <v>1</v>
      </c>
      <c r="L14" s="26" t="s">
        <v>55</v>
      </c>
      <c r="M14" s="28">
        <v>1019</v>
      </c>
      <c r="N14" s="28">
        <f t="shared" si="2"/>
        <v>0</v>
      </c>
      <c r="O14" s="28">
        <f t="shared" si="3"/>
        <v>0</v>
      </c>
      <c r="P14" s="28">
        <v>100000</v>
      </c>
      <c r="Q14" s="28">
        <f t="shared" si="4"/>
        <v>101900000</v>
      </c>
      <c r="R14" s="29">
        <f t="shared" si="5"/>
        <v>15</v>
      </c>
      <c r="S14" s="28">
        <f t="shared" si="6"/>
        <v>6666.666666666667</v>
      </c>
      <c r="T14" s="26">
        <v>8.9999999999999993E-3</v>
      </c>
      <c r="U14" s="7">
        <f t="shared" si="7"/>
        <v>4.3869999999999999E-2</v>
      </c>
      <c r="V14" s="8">
        <v>3.4869999999999998E-2</v>
      </c>
      <c r="W14" s="28"/>
      <c r="X14" s="28"/>
      <c r="Y14" s="28"/>
      <c r="Z14" s="28"/>
      <c r="AB14" s="30"/>
      <c r="AC14" s="4"/>
      <c r="AD14" s="4"/>
      <c r="AE14" s="31"/>
      <c r="AF14" s="28"/>
      <c r="AG14" s="31"/>
      <c r="AH14" s="31"/>
      <c r="AI14" s="32"/>
      <c r="AJ14" s="28"/>
      <c r="AK14" s="28"/>
      <c r="AL14" s="28"/>
      <c r="AM14" s="28"/>
      <c r="AN14" s="28"/>
      <c r="AO14" s="28"/>
      <c r="AP14" s="26"/>
      <c r="AQ14" s="6"/>
      <c r="AR14" s="6"/>
    </row>
    <row r="15" spans="1:45" x14ac:dyDescent="0.25">
      <c r="A15" s="2" t="s">
        <v>71</v>
      </c>
      <c r="B15" s="25">
        <v>5158</v>
      </c>
      <c r="C15" s="3" t="s">
        <v>72</v>
      </c>
      <c r="D15" s="4">
        <v>45694</v>
      </c>
      <c r="E15" s="4">
        <v>45694</v>
      </c>
      <c r="F15" s="4">
        <v>46265</v>
      </c>
      <c r="G15" s="4">
        <v>46390</v>
      </c>
      <c r="H15" s="5">
        <f t="shared" si="0"/>
        <v>0</v>
      </c>
      <c r="I15" s="26">
        <v>4.07E-2</v>
      </c>
      <c r="J15" s="26" t="s">
        <v>55</v>
      </c>
      <c r="K15" s="27">
        <f t="shared" si="1"/>
        <v>1</v>
      </c>
      <c r="L15" s="26" t="s">
        <v>55</v>
      </c>
      <c r="M15" s="28">
        <v>794</v>
      </c>
      <c r="N15" s="28">
        <f t="shared" si="2"/>
        <v>0</v>
      </c>
      <c r="O15" s="28">
        <f t="shared" si="3"/>
        <v>0</v>
      </c>
      <c r="P15" s="28">
        <v>100000</v>
      </c>
      <c r="Q15" s="28">
        <f t="shared" si="4"/>
        <v>79400000</v>
      </c>
      <c r="R15" s="29">
        <f t="shared" si="5"/>
        <v>2</v>
      </c>
      <c r="S15" s="28">
        <f t="shared" si="6"/>
        <v>50000</v>
      </c>
      <c r="T15" s="26">
        <v>1.4E-2</v>
      </c>
      <c r="U15" s="7">
        <f t="shared" si="7"/>
        <v>4.9529999999999998E-2</v>
      </c>
      <c r="V15" s="8">
        <v>3.5529999999999999E-2</v>
      </c>
      <c r="W15" s="28"/>
      <c r="X15" s="28"/>
      <c r="Y15" s="28"/>
      <c r="Z15" s="28"/>
      <c r="AB15" s="30"/>
      <c r="AC15" s="4"/>
      <c r="AD15" s="4"/>
      <c r="AE15" s="31"/>
      <c r="AF15" s="28"/>
      <c r="AG15" s="31"/>
      <c r="AH15" s="31"/>
      <c r="AI15" s="32"/>
      <c r="AJ15" s="28"/>
      <c r="AK15" s="28"/>
      <c r="AL15" s="28"/>
      <c r="AM15" s="28"/>
      <c r="AN15" s="28"/>
      <c r="AO15" s="28"/>
      <c r="AP15" s="26"/>
      <c r="AQ15" s="6"/>
      <c r="AR15" s="6"/>
    </row>
    <row r="16" spans="1:45" x14ac:dyDescent="0.25">
      <c r="A16" s="2" t="s">
        <v>73</v>
      </c>
      <c r="B16" s="25">
        <v>5156</v>
      </c>
      <c r="C16" s="3" t="s">
        <v>74</v>
      </c>
      <c r="D16" s="4">
        <v>45694</v>
      </c>
      <c r="E16" s="4">
        <v>45694</v>
      </c>
      <c r="F16" s="4">
        <v>46265</v>
      </c>
      <c r="G16" s="4">
        <v>46390</v>
      </c>
      <c r="H16" s="5">
        <f t="shared" si="0"/>
        <v>0</v>
      </c>
      <c r="I16" s="26">
        <v>4.07E-2</v>
      </c>
      <c r="J16" s="26" t="s">
        <v>55</v>
      </c>
      <c r="K16" s="27">
        <f t="shared" si="1"/>
        <v>1</v>
      </c>
      <c r="L16" s="26" t="s">
        <v>55</v>
      </c>
      <c r="M16" s="28">
        <v>794</v>
      </c>
      <c r="N16" s="28">
        <f t="shared" si="2"/>
        <v>0</v>
      </c>
      <c r="O16" s="28">
        <f t="shared" si="3"/>
        <v>0</v>
      </c>
      <c r="P16" s="28">
        <v>100000</v>
      </c>
      <c r="Q16" s="28">
        <f t="shared" si="4"/>
        <v>79400000</v>
      </c>
      <c r="R16" s="29">
        <f t="shared" si="5"/>
        <v>2</v>
      </c>
      <c r="S16" s="28">
        <f t="shared" si="6"/>
        <v>50000</v>
      </c>
      <c r="T16" s="26">
        <v>1.4E-2</v>
      </c>
      <c r="U16" s="7">
        <f t="shared" si="7"/>
        <v>4.9529999999999998E-2</v>
      </c>
      <c r="V16" s="8">
        <v>3.5529999999999999E-2</v>
      </c>
      <c r="W16" s="28"/>
      <c r="X16" s="28"/>
      <c r="Y16" s="28"/>
      <c r="Z16" s="28"/>
      <c r="AB16" s="30"/>
      <c r="AC16" s="4"/>
      <c r="AD16" s="4"/>
      <c r="AE16" s="31"/>
      <c r="AF16" s="28"/>
      <c r="AG16" s="31"/>
      <c r="AH16" s="31"/>
      <c r="AI16" s="32"/>
      <c r="AJ16" s="28"/>
      <c r="AK16" s="28"/>
      <c r="AL16" s="28"/>
      <c r="AM16" s="28"/>
      <c r="AN16" s="28"/>
      <c r="AO16" s="28"/>
      <c r="AP16" s="26"/>
      <c r="AQ16" s="6"/>
      <c r="AR16" s="6"/>
    </row>
    <row r="17" spans="1:44" x14ac:dyDescent="0.25">
      <c r="A17" s="2" t="s">
        <v>45</v>
      </c>
      <c r="B17" s="25">
        <v>201678</v>
      </c>
      <c r="C17" s="3" t="s">
        <v>46</v>
      </c>
      <c r="D17" s="4">
        <v>44606</v>
      </c>
      <c r="E17" s="4">
        <v>44852</v>
      </c>
      <c r="F17" s="4">
        <v>46265</v>
      </c>
      <c r="G17" s="4">
        <v>46678</v>
      </c>
      <c r="H17" s="5">
        <f t="shared" si="0"/>
        <v>0</v>
      </c>
      <c r="I17" s="26">
        <v>2.1000000000000001E-2</v>
      </c>
      <c r="J17" s="26" t="s">
        <v>55</v>
      </c>
      <c r="K17" s="27">
        <f t="shared" si="1"/>
        <v>1</v>
      </c>
      <c r="L17" s="26" t="s">
        <v>56</v>
      </c>
      <c r="M17" s="28">
        <v>9220</v>
      </c>
      <c r="N17" s="28">
        <f t="shared" si="2"/>
        <v>100000</v>
      </c>
      <c r="O17" s="28">
        <f t="shared" si="3"/>
        <v>922000000</v>
      </c>
      <c r="P17" s="28">
        <v>100000</v>
      </c>
      <c r="Q17" s="28">
        <f t="shared" si="4"/>
        <v>922000000</v>
      </c>
      <c r="R17" s="29">
        <f t="shared" si="5"/>
        <v>5</v>
      </c>
      <c r="S17" s="28">
        <f t="shared" si="6"/>
        <v>0</v>
      </c>
      <c r="T17" s="26">
        <v>0</v>
      </c>
      <c r="U17" s="7">
        <f t="shared" si="7"/>
        <v>2.2550000000000001E-2</v>
      </c>
      <c r="V17" s="8">
        <v>2.2550000000000001E-2</v>
      </c>
      <c r="W17" s="28"/>
      <c r="X17" s="28"/>
      <c r="Y17" s="28"/>
      <c r="Z17" s="28"/>
      <c r="AB17" s="30"/>
      <c r="AC17" s="4"/>
      <c r="AD17" s="4"/>
      <c r="AE17" s="31"/>
      <c r="AF17" s="28"/>
      <c r="AG17" s="31"/>
      <c r="AH17" s="31"/>
      <c r="AI17" s="32"/>
      <c r="AJ17" s="28"/>
      <c r="AK17" s="28"/>
      <c r="AL17" s="28"/>
      <c r="AM17" s="28"/>
      <c r="AN17" s="28"/>
      <c r="AO17" s="28"/>
      <c r="AP17" s="26"/>
      <c r="AQ17" s="6"/>
      <c r="AR17" s="6"/>
    </row>
    <row r="18" spans="1:44" x14ac:dyDescent="0.25">
      <c r="A18" s="2" t="s">
        <v>51</v>
      </c>
      <c r="B18" s="25">
        <v>201516</v>
      </c>
      <c r="C18" s="3" t="s">
        <v>52</v>
      </c>
      <c r="D18" s="4">
        <v>43115</v>
      </c>
      <c r="E18" s="4">
        <v>43299</v>
      </c>
      <c r="F18" s="4">
        <v>46265</v>
      </c>
      <c r="G18" s="4">
        <v>48778</v>
      </c>
      <c r="H18" s="5">
        <f t="shared" si="0"/>
        <v>0</v>
      </c>
      <c r="I18" s="26">
        <v>3.7000000000000005E-2</v>
      </c>
      <c r="J18" s="26" t="s">
        <v>55</v>
      </c>
      <c r="K18" s="27">
        <f t="shared" si="1"/>
        <v>1</v>
      </c>
      <c r="L18" s="26" t="s">
        <v>56</v>
      </c>
      <c r="M18" s="28">
        <v>8948</v>
      </c>
      <c r="N18" s="28">
        <f t="shared" si="2"/>
        <v>100000</v>
      </c>
      <c r="O18" s="28">
        <f t="shared" si="3"/>
        <v>894800000</v>
      </c>
      <c r="P18" s="28">
        <v>100000</v>
      </c>
      <c r="Q18" s="28">
        <f t="shared" si="4"/>
        <v>894800000</v>
      </c>
      <c r="R18" s="29">
        <f t="shared" si="5"/>
        <v>15</v>
      </c>
      <c r="S18" s="28">
        <f t="shared" si="6"/>
        <v>0</v>
      </c>
      <c r="T18" s="26">
        <v>0</v>
      </c>
      <c r="U18" s="7">
        <f t="shared" si="7"/>
        <v>3.0280000000000001E-2</v>
      </c>
      <c r="V18" s="8">
        <v>3.0280000000000001E-2</v>
      </c>
      <c r="W18" s="28"/>
      <c r="X18" s="28"/>
      <c r="Y18" s="28"/>
      <c r="Z18" s="28"/>
      <c r="AB18" s="30"/>
      <c r="AC18" s="4"/>
      <c r="AD18" s="4"/>
      <c r="AE18" s="31"/>
      <c r="AF18" s="28"/>
      <c r="AG18" s="31"/>
      <c r="AH18" s="31"/>
      <c r="AI18" s="32"/>
      <c r="AJ18" s="28"/>
      <c r="AK18" s="28"/>
      <c r="AL18" s="28"/>
      <c r="AM18" s="28"/>
      <c r="AN18" s="28"/>
      <c r="AO18" s="28"/>
      <c r="AP18" s="26"/>
      <c r="AQ18" s="6"/>
      <c r="AR18" s="6"/>
    </row>
    <row r="19" spans="1:44" x14ac:dyDescent="0.25">
      <c r="A19" s="2" t="s">
        <v>49</v>
      </c>
      <c r="B19" s="25">
        <v>201432</v>
      </c>
      <c r="C19" s="3" t="s">
        <v>50</v>
      </c>
      <c r="D19" s="4">
        <v>42506</v>
      </c>
      <c r="E19" s="4">
        <v>42569</v>
      </c>
      <c r="F19" s="4">
        <v>46265</v>
      </c>
      <c r="G19" s="4">
        <v>48047</v>
      </c>
      <c r="H19" s="5">
        <f t="shared" si="0"/>
        <v>0</v>
      </c>
      <c r="I19" s="26">
        <v>3.2000000000000001E-2</v>
      </c>
      <c r="J19" s="26" t="s">
        <v>55</v>
      </c>
      <c r="K19" s="27">
        <f t="shared" si="1"/>
        <v>1</v>
      </c>
      <c r="L19" s="26" t="s">
        <v>56</v>
      </c>
      <c r="M19" s="28">
        <v>36181</v>
      </c>
      <c r="N19" s="28">
        <f t="shared" si="2"/>
        <v>100000</v>
      </c>
      <c r="O19" s="28">
        <f t="shared" si="3"/>
        <v>3618100000</v>
      </c>
      <c r="P19" s="28">
        <v>100000</v>
      </c>
      <c r="Q19" s="28">
        <f t="shared" si="4"/>
        <v>3618100000</v>
      </c>
      <c r="R19" s="29">
        <f t="shared" si="5"/>
        <v>15</v>
      </c>
      <c r="S19" s="28">
        <f t="shared" si="6"/>
        <v>0</v>
      </c>
      <c r="T19" s="26">
        <v>0</v>
      </c>
      <c r="U19" s="7">
        <f t="shared" si="7"/>
        <v>2.8660000000000001E-2</v>
      </c>
      <c r="V19" s="8">
        <v>2.8660000000000001E-2</v>
      </c>
      <c r="W19" s="28"/>
      <c r="X19" s="28"/>
      <c r="Y19" s="28"/>
      <c r="Z19" s="28"/>
      <c r="AB19" s="30"/>
      <c r="AC19" s="4"/>
      <c r="AD19" s="4"/>
      <c r="AE19" s="31"/>
      <c r="AF19" s="28"/>
      <c r="AG19" s="31"/>
      <c r="AH19" s="31"/>
      <c r="AI19" s="32"/>
      <c r="AJ19" s="28"/>
      <c r="AK19" s="28"/>
      <c r="AL19" s="28"/>
      <c r="AM19" s="28"/>
      <c r="AN19" s="28"/>
      <c r="AO19" s="28"/>
      <c r="AP19" s="26"/>
      <c r="AQ19" s="6"/>
      <c r="AR19" s="6"/>
    </row>
    <row r="20" spans="1:44" x14ac:dyDescent="0.25">
      <c r="A20" s="2" t="s">
        <v>75</v>
      </c>
      <c r="B20" s="25">
        <v>91027</v>
      </c>
      <c r="C20" s="3" t="s">
        <v>76</v>
      </c>
      <c r="D20" s="4">
        <v>40294</v>
      </c>
      <c r="E20" s="4">
        <v>40294</v>
      </c>
      <c r="F20" s="4">
        <v>46265</v>
      </c>
      <c r="G20" s="4">
        <v>47599</v>
      </c>
      <c r="H20" s="5">
        <f t="shared" si="0"/>
        <v>0</v>
      </c>
      <c r="I20" s="26">
        <v>4.9599999999999998E-2</v>
      </c>
      <c r="J20" s="26" t="s">
        <v>55</v>
      </c>
      <c r="K20" s="27">
        <f t="shared" si="1"/>
        <v>1</v>
      </c>
      <c r="L20" s="26" t="s">
        <v>56</v>
      </c>
      <c r="M20" s="28">
        <v>9940</v>
      </c>
      <c r="N20" s="28">
        <f t="shared" si="2"/>
        <v>100000</v>
      </c>
      <c r="O20" s="28">
        <f t="shared" si="3"/>
        <v>994000000</v>
      </c>
      <c r="P20" s="28">
        <v>100000</v>
      </c>
      <c r="Q20" s="28">
        <f t="shared" si="4"/>
        <v>994000000</v>
      </c>
      <c r="R20" s="29">
        <f t="shared" si="5"/>
        <v>20</v>
      </c>
      <c r="S20" s="28">
        <f t="shared" si="6"/>
        <v>0</v>
      </c>
      <c r="T20" s="26">
        <v>4.8999999999999998E-3</v>
      </c>
      <c r="U20" s="7">
        <f t="shared" si="7"/>
        <v>3.7330000000000002E-2</v>
      </c>
      <c r="V20" s="8">
        <v>3.243E-2</v>
      </c>
      <c r="W20" s="28"/>
      <c r="X20" s="28"/>
      <c r="Y20" s="28"/>
      <c r="Z20" s="28"/>
      <c r="AB20" s="30"/>
      <c r="AC20" s="4"/>
      <c r="AD20" s="4"/>
      <c r="AE20" s="31"/>
      <c r="AF20" s="28"/>
      <c r="AG20" s="31"/>
      <c r="AH20" s="31"/>
      <c r="AI20" s="32"/>
      <c r="AJ20" s="28"/>
      <c r="AK20" s="28"/>
      <c r="AL20" s="28"/>
      <c r="AM20" s="28"/>
      <c r="AN20" s="28"/>
      <c r="AO20" s="28"/>
      <c r="AP20" s="26"/>
      <c r="AQ20" s="6"/>
      <c r="AR20" s="6"/>
    </row>
    <row r="21" spans="1:44" x14ac:dyDescent="0.25">
      <c r="A21" s="2" t="s">
        <v>77</v>
      </c>
      <c r="B21" s="25">
        <v>9351</v>
      </c>
      <c r="C21" s="3" t="s">
        <v>78</v>
      </c>
      <c r="D21" s="4">
        <v>43075</v>
      </c>
      <c r="E21" s="4">
        <v>43075</v>
      </c>
      <c r="F21" s="4">
        <v>46265</v>
      </c>
      <c r="G21" s="4">
        <v>48554</v>
      </c>
      <c r="H21" s="5">
        <f t="shared" si="0"/>
        <v>0</v>
      </c>
      <c r="I21" s="26">
        <v>3.9300000000000002E-2</v>
      </c>
      <c r="J21" s="26" t="s">
        <v>55</v>
      </c>
      <c r="K21" s="27">
        <f t="shared" si="1"/>
        <v>1</v>
      </c>
      <c r="L21" s="26" t="s">
        <v>55</v>
      </c>
      <c r="M21" s="28">
        <v>1250</v>
      </c>
      <c r="N21" s="28">
        <f t="shared" si="2"/>
        <v>0</v>
      </c>
      <c r="O21" s="28">
        <f t="shared" si="3"/>
        <v>0</v>
      </c>
      <c r="P21" s="28">
        <v>100000</v>
      </c>
      <c r="Q21" s="28">
        <f t="shared" si="4"/>
        <v>125000000</v>
      </c>
      <c r="R21" s="29">
        <f t="shared" si="5"/>
        <v>15</v>
      </c>
      <c r="S21" s="28">
        <f t="shared" si="6"/>
        <v>6666.666666666667</v>
      </c>
      <c r="T21" s="26">
        <v>7.0000000000000001E-3</v>
      </c>
      <c r="U21" s="7">
        <f t="shared" si="7"/>
        <v>4.1739999999999999E-2</v>
      </c>
      <c r="V21" s="8">
        <v>3.474E-2</v>
      </c>
      <c r="W21" s="28"/>
      <c r="X21" s="28"/>
      <c r="Y21" s="28"/>
      <c r="Z21" s="28"/>
      <c r="AB21" s="30"/>
      <c r="AC21" s="4"/>
      <c r="AD21" s="4"/>
      <c r="AE21" s="31"/>
      <c r="AF21" s="28"/>
      <c r="AG21" s="31"/>
      <c r="AH21" s="31"/>
      <c r="AI21" s="32"/>
      <c r="AJ21" s="28"/>
      <c r="AK21" s="28"/>
      <c r="AL21" s="28"/>
      <c r="AM21" s="28"/>
      <c r="AN21" s="28"/>
      <c r="AO21" s="28"/>
      <c r="AP21" s="26"/>
      <c r="AQ21" s="6"/>
      <c r="AR21" s="6"/>
    </row>
    <row r="22" spans="1:44" x14ac:dyDescent="0.25">
      <c r="A22" s="2"/>
      <c r="B22" s="33"/>
      <c r="C22" s="3"/>
      <c r="H22" s="5"/>
      <c r="I22" s="34"/>
      <c r="J22" s="34"/>
      <c r="K22" s="35"/>
      <c r="L22" s="34"/>
      <c r="M22" s="11"/>
      <c r="N22" s="11"/>
      <c r="O22" s="6"/>
      <c r="P22" s="11"/>
      <c r="Q22" s="6"/>
      <c r="R22" s="36"/>
      <c r="S22" s="6"/>
      <c r="T22" s="34"/>
      <c r="U22" s="7"/>
      <c r="V22" s="8"/>
      <c r="W22" s="11"/>
      <c r="X22" s="9"/>
      <c r="Y22" s="11"/>
      <c r="Z22" s="12"/>
      <c r="AB22" s="11"/>
      <c r="AC22" s="4"/>
      <c r="AD22" s="4"/>
      <c r="AE22" s="37"/>
      <c r="AF22" s="6"/>
      <c r="AG22" s="37"/>
      <c r="AH22" s="37"/>
      <c r="AI22" s="8"/>
      <c r="AJ22" s="6"/>
      <c r="AK22" s="6"/>
      <c r="AL22" s="6"/>
      <c r="AM22" s="6"/>
      <c r="AN22" s="6"/>
      <c r="AO22" s="6"/>
      <c r="AP22" s="34"/>
      <c r="AQ22" s="6"/>
      <c r="AR22" s="6"/>
    </row>
    <row r="23" spans="1:44" x14ac:dyDescent="0.25">
      <c r="A23" s="2"/>
      <c r="B23" s="33"/>
      <c r="C23" s="3"/>
      <c r="H23" s="5"/>
      <c r="I23" s="34"/>
      <c r="J23" s="34"/>
      <c r="K23" s="35"/>
      <c r="L23" s="34"/>
      <c r="M23" s="11"/>
      <c r="N23" s="11"/>
      <c r="O23" s="6"/>
      <c r="P23" s="11"/>
      <c r="Q23" s="6"/>
      <c r="R23" s="36"/>
      <c r="S23" s="6"/>
      <c r="T23" s="34"/>
      <c r="U23" s="7"/>
      <c r="V23" s="8"/>
      <c r="W23" s="11"/>
      <c r="X23" s="9"/>
      <c r="Y23" s="11"/>
      <c r="Z23" s="12"/>
      <c r="AB23" s="11"/>
      <c r="AC23" s="4"/>
      <c r="AD23" s="4"/>
      <c r="AE23" s="37"/>
      <c r="AF23" s="6"/>
      <c r="AG23" s="37"/>
      <c r="AH23" s="37"/>
      <c r="AI23" s="8"/>
      <c r="AJ23" s="6"/>
      <c r="AK23" s="6"/>
      <c r="AL23" s="6"/>
      <c r="AM23" s="6"/>
      <c r="AN23" s="6"/>
      <c r="AO23" s="6"/>
      <c r="AP23" s="34"/>
      <c r="AQ23" s="6"/>
      <c r="AR23" s="6"/>
    </row>
    <row r="24" spans="1:44" x14ac:dyDescent="0.25">
      <c r="A24" s="2"/>
      <c r="B24" s="33"/>
      <c r="C24" s="3"/>
      <c r="H24" s="5"/>
      <c r="I24" s="34"/>
      <c r="J24" s="34"/>
      <c r="K24" s="35"/>
      <c r="L24" s="34"/>
      <c r="M24" s="11"/>
      <c r="N24" s="11"/>
      <c r="O24" s="6">
        <f>SUM(O2:O23)</f>
        <v>13242100000</v>
      </c>
      <c r="P24" s="11"/>
      <c r="Q24" s="6">
        <f>SUM(Q2:Q23)</f>
        <v>15323600000</v>
      </c>
      <c r="R24" s="36"/>
      <c r="S24" s="6"/>
      <c r="T24" s="34"/>
      <c r="U24" s="7"/>
      <c r="V24" s="8"/>
      <c r="W24" s="11"/>
      <c r="X24" s="9"/>
      <c r="Y24" s="11"/>
      <c r="Z24" s="12"/>
      <c r="AB24" s="11"/>
      <c r="AC24" s="4"/>
      <c r="AD24" s="4"/>
      <c r="AE24" s="37"/>
      <c r="AF24" s="6"/>
      <c r="AG24" s="37"/>
      <c r="AH24" s="37"/>
      <c r="AI24" s="8"/>
      <c r="AJ24" s="6"/>
      <c r="AK24" s="6"/>
      <c r="AL24" s="6"/>
      <c r="AM24" s="6"/>
      <c r="AN24" s="6"/>
      <c r="AO24" s="6"/>
      <c r="AP24" s="34"/>
      <c r="AQ24" s="6"/>
      <c r="AR24" s="6"/>
    </row>
    <row r="25" spans="1:44" ht="9.6" customHeight="1" x14ac:dyDescent="0.25"/>
    <row r="26" spans="1:44" x14ac:dyDescent="0.25">
      <c r="AF26" s="13">
        <f>SUM(AF2:AF25)</f>
        <v>0</v>
      </c>
      <c r="AI26" s="7"/>
      <c r="AJ26" s="13">
        <f>SUM(AJ2:AJ25)</f>
        <v>0</v>
      </c>
      <c r="AK26" s="13">
        <f>SUM(AK2:AK25)</f>
        <v>0</v>
      </c>
      <c r="AL26" s="13">
        <f>SUM(AL2:AL25)</f>
        <v>0</v>
      </c>
      <c r="AM26" s="6"/>
      <c r="AN26" s="13"/>
    </row>
    <row r="28" spans="1:44" x14ac:dyDescent="0.25">
      <c r="AJ28" s="6" t="e">
        <f>AJ26/$AF$26</f>
        <v>#DIV/0!</v>
      </c>
      <c r="AK28" s="6" t="e">
        <f>AK26/$AF$26</f>
        <v>#DIV/0!</v>
      </c>
      <c r="AL28" s="34" t="e">
        <f>AL26/$AF$26</f>
        <v>#DIV/0!</v>
      </c>
    </row>
  </sheetData>
  <conditionalFormatting sqref="Y1 Z22:Z23">
    <cfRule type="cellIs" dxfId="4" priority="5" operator="between">
      <formula>182</formula>
      <formula>365</formula>
    </cfRule>
  </conditionalFormatting>
  <conditionalFormatting sqref="H22:H23">
    <cfRule type="cellIs" dxfId="3" priority="4" operator="equal">
      <formula>1</formula>
    </cfRule>
  </conditionalFormatting>
  <conditionalFormatting sqref="G22:G23">
    <cfRule type="cellIs" dxfId="2" priority="3" operator="lessThan">
      <formula>#REF!</formula>
    </cfRule>
  </conditionalFormatting>
  <conditionalFormatting sqref="H2:H21">
    <cfRule type="cellIs" dxfId="1" priority="2" operator="equal">
      <formula>1</formula>
    </cfRule>
  </conditionalFormatting>
  <conditionalFormatting sqref="G2:G21">
    <cfRule type="cellIs" dxfId="0" priority="1" operator="less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Bonds_Data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2026-08-20T15:28:29Z</dcterms:created>
  <dcterms:modified xsi:type="dcterms:W3CDTF">2026-08-22T09:00:09Z</dcterms:modified>
</cp:coreProperties>
</file>